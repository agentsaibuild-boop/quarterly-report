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ai_zarov\Desktop\Фирмата\"/>
    </mc:Choice>
  </mc:AlternateContent>
  <xr:revisionPtr revIDLastSave="0" documentId="13_ncr:1_{0E52A671-22B9-44B2-86C9-1E6FF9375AF8}" xr6:coauthVersionLast="47" xr6:coauthVersionMax="47" xr10:uidLastSave="{00000000-0000-0000-0000-000000000000}"/>
  <bookViews>
    <workbookView xWindow="-108" yWindow="-108" windowWidth="23256" windowHeight="13896" xr2:uid="{D06A1B1D-EA73-475E-B5BB-C6218208A0A8}"/>
  </bookViews>
  <sheets>
    <sheet name="2026" sheetId="1" r:id="rId1"/>
    <sheet name="AI инструменти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G31" i="1"/>
  <c r="F31" i="1"/>
  <c r="E31" i="1"/>
  <c r="D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9" i="1"/>
  <c r="G8" i="1"/>
  <c r="G7" i="1"/>
  <c r="G6" i="1"/>
  <c r="C20" i="3" l="1"/>
  <c r="C19" i="3"/>
  <c r="C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Рени Козарева</author>
  </authors>
  <commentList>
    <comment ref="B11" authorId="0" shapeId="0" xr:uid="{247E58D4-D0BA-4261-96CB-E19B18A8FC28}">
      <text>
        <r>
          <rPr>
            <b/>
            <sz val="9"/>
            <color indexed="81"/>
            <rFont val="Tahoma"/>
            <charset val="1"/>
          </rPr>
          <t>Рени Козарева:</t>
        </r>
        <r>
          <rPr>
            <sz val="9"/>
            <color indexed="81"/>
            <rFont val="Tahoma"/>
            <charset val="1"/>
          </rPr>
          <t xml:space="preserve">
наем офис с мебели; 85 кв.; включва комункални сметки и 2 парко места. Намира се в кв. Витоша</t>
        </r>
      </text>
    </comment>
  </commentList>
</comments>
</file>

<file path=xl/sharedStrings.xml><?xml version="1.0" encoding="utf-8"?>
<sst xmlns="http://schemas.openxmlformats.org/spreadsheetml/2006/main" count="92" uniqueCount="86">
  <si>
    <t>С натрупване</t>
  </si>
  <si>
    <t>ОБЩО ПРИХОДИ</t>
  </si>
  <si>
    <t>РАЗХОДИ</t>
  </si>
  <si>
    <t>Разходи за възнаграждения</t>
  </si>
  <si>
    <t>Разходи за осигуровки</t>
  </si>
  <si>
    <t>ГСМ</t>
  </si>
  <si>
    <t>Ремонт и поддръжка на МПС и оборудване</t>
  </si>
  <si>
    <t>Счетоводни услуги</t>
  </si>
  <si>
    <t>Куриерски услуги /Спиди, Еконт, други/</t>
  </si>
  <si>
    <t>Канц.м-ли и офис консумативи</t>
  </si>
  <si>
    <t>Банкови такси</t>
  </si>
  <si>
    <t>Общо разходи</t>
  </si>
  <si>
    <t>КОНТРОЛИРУЕМ РЕЗУЛТАТ</t>
  </si>
  <si>
    <t>Приход продажба Технически предложения</t>
  </si>
  <si>
    <t>Приход продажба четене на чертеж</t>
  </si>
  <si>
    <t>Наем на офис</t>
  </si>
  <si>
    <t>Юридическо обслужване /външно/</t>
  </si>
  <si>
    <t>Телефон</t>
  </si>
  <si>
    <t>Лаптоп</t>
  </si>
  <si>
    <t>AI инструменти</t>
  </si>
  <si>
    <t>Домейн</t>
  </si>
  <si>
    <t>Хостинг</t>
  </si>
  <si>
    <t>Мобилен номер</t>
  </si>
  <si>
    <t>Сървъри за приложенията</t>
  </si>
  <si>
    <t>Приход продажба Smart Material</t>
  </si>
  <si>
    <t>Гражданска и каско</t>
  </si>
  <si>
    <t>средна цена за гражданска и каско за Пежо 308</t>
  </si>
  <si>
    <t>смяна на гуми, масла и филтри</t>
  </si>
  <si>
    <t>нови устройства - Samsung S25</t>
  </si>
  <si>
    <t>нови устройства - Thinkpad X1 Carbon G13 Lenovo</t>
  </si>
  <si>
    <t>хартия, кафе, копирни услуги, интернет</t>
  </si>
  <si>
    <t xml:space="preserve">лицензи за AI платформи + API </t>
  </si>
  <si>
    <t>Хъб за сървъри</t>
  </si>
  <si>
    <t>www.aibuildagents.bg</t>
  </si>
  <si>
    <t>Приход продажба OCR за стойности от чертеж</t>
  </si>
  <si>
    <t>Инструмент</t>
  </si>
  <si>
    <t>План</t>
  </si>
  <si>
    <t>Цена / месец (без ДДС)</t>
  </si>
  <si>
    <t>Предназначение</t>
  </si>
  <si>
    <t>Claude</t>
  </si>
  <si>
    <t>Max / high-usage план</t>
  </si>
  <si>
    <t>Основен reasoning AI за анализ, архитектура и сложни задачи</t>
  </si>
  <si>
    <t>Gemini</t>
  </si>
  <si>
    <t>Google AI Ultra (най-висок план)</t>
  </si>
  <si>
    <t>Мултимодален модел, агенти, експериментални функции</t>
  </si>
  <si>
    <t>Perplexity AI</t>
  </si>
  <si>
    <t>Pro</t>
  </si>
  <si>
    <t>AI research и web reasoning</t>
  </si>
  <si>
    <t>GitHub</t>
  </si>
  <si>
    <t>Team</t>
  </si>
  <si>
    <t>Code repository, collaboration workspace</t>
  </si>
  <si>
    <t>Google Workspace</t>
  </si>
  <si>
    <t>Business Standard</t>
  </si>
  <si>
    <t>Workspace: документи, Drive, Meet, collaboration</t>
  </si>
  <si>
    <t>Microsoft Copilot</t>
  </si>
  <si>
    <t>Copilot for Microsoft 365</t>
  </si>
  <si>
    <t>AI помощник в офис инструменти</t>
  </si>
  <si>
    <t>Midjourney</t>
  </si>
  <si>
    <t>Генерация на изображения и визуализации</t>
  </si>
  <si>
    <t>Visual Studio Code</t>
  </si>
  <si>
    <t>VS Code</t>
  </si>
  <si>
    <t>Основна dev среда</t>
  </si>
  <si>
    <t>DeepSeek</t>
  </si>
  <si>
    <t>Web / chat</t>
  </si>
  <si>
    <t>AI reasoning модел (web достъп)</t>
  </si>
  <si>
    <t>Бюджетен ред</t>
  </si>
  <si>
    <t>Месечен лимит</t>
  </si>
  <si>
    <t>Claude Opus 4.6 API</t>
  </si>
  <si>
    <t>premium reasoning / complex coding</t>
  </si>
  <si>
    <t>OpenAI gpt-5.3-codex / GPT-5.2 API</t>
  </si>
  <si>
    <t>coding and agent execution</t>
  </si>
  <si>
    <t>Gemini 2.5 Pro API</t>
  </si>
  <si>
    <t>long-context and multimodal tasks</t>
  </si>
  <si>
    <t>DeepSeek Reasoner API</t>
  </si>
  <si>
    <t>cost-efficient overflow / batch reasoning</t>
  </si>
  <si>
    <t>API</t>
  </si>
  <si>
    <t>Общо планове</t>
  </si>
  <si>
    <t>Общо API</t>
  </si>
  <si>
    <t>Общо</t>
  </si>
  <si>
    <t>Коментари:</t>
  </si>
  <si>
    <t>https://www.yavlena.com/bg/165983/rent</t>
  </si>
  <si>
    <t>2 часа месечно</t>
  </si>
  <si>
    <t>Пежо 308</t>
  </si>
  <si>
    <t>Амортизации автомобил</t>
  </si>
  <si>
    <t>Реклама и рекламни материали</t>
  </si>
  <si>
    <t>Изпълнено  AI Build Agents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</si>
</sst>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лв.&quot;_-;\-* #,##0.00\ &quot;лв.&quot;_-;_-* &quot;-&quot;??\ &quot;лв.&quot;_-;_-@_-"/>
    <numFmt numFmtId="43" formatCode="_-* #,##0.00_-;\-* #,##0.00_-;_-* &quot;-&quot;??_-;_-@_-"/>
    <numFmt numFmtId="164" formatCode="\к\ъ\м\ \:\ dd/mm/yyyy\ \г/"/>
    <numFmt numFmtId="165" formatCode="mmm/yyyy"/>
    <numFmt numFmtId="166" formatCode="_-* #,##0.00\ _л_в_-;\-* #,##0.00\ _л_в_-;_-* &quot;-&quot;??\ _л_в_-;_-@_-"/>
    <numFmt numFmtId="167" formatCode="_-* #,##0.00\ [$€-1]_-;\-* #,##0.00\ [$€-1]_-;_-* &quot;-&quot;??\ [$€-1]_-;_-@_-"/>
    <numFmt numFmtId="168" formatCode="_-* #,##0.00\ _л_в_._-;\-* #,##0.00\ _л_в_._-;_-* &quot;-&quot;??\ _л_в_._-;_-@_-"/>
  </numFmts>
  <fonts count="1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  <charset val="204"/>
    </font>
    <font>
      <sz val="12"/>
      <name val="Arial"/>
      <family val="2"/>
      <charset val="204"/>
    </font>
    <font>
      <sz val="14"/>
      <color theme="1"/>
      <name val="Arial"/>
      <family val="2"/>
      <charset val="204"/>
    </font>
    <font>
      <b/>
      <sz val="14"/>
      <name val="Arial"/>
      <family val="2"/>
      <charset val="204"/>
    </font>
    <font>
      <b/>
      <sz val="14"/>
      <color theme="1"/>
      <name val="Arial"/>
      <family val="2"/>
      <charset val="204"/>
    </font>
    <font>
      <sz val="10"/>
      <name val="Arial"/>
      <family val="2"/>
      <charset val="204"/>
    </font>
    <font>
      <sz val="12"/>
      <color theme="1"/>
      <name val="Arial"/>
      <family val="2"/>
    </font>
    <font>
      <sz val="14"/>
      <name val="Arial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Arial"/>
      <family val="2"/>
      <charset val="204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u/>
      <sz val="14"/>
      <color theme="10"/>
      <name val="Aptos Narrow"/>
      <family val="2"/>
      <charset val="204"/>
      <scheme val="minor"/>
    </font>
    <font>
      <sz val="10"/>
      <name val="Arial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9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8" fillId="0" borderId="0"/>
    <xf numFmtId="44" fontId="1" fillId="0" borderId="0" applyFont="0" applyFill="0" applyBorder="0" applyAlignment="0" applyProtection="0"/>
    <xf numFmtId="0" fontId="1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8" fillId="0" borderId="0"/>
    <xf numFmtId="166" fontId="8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168" fontId="8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</cellStyleXfs>
  <cellXfs count="44">
    <xf numFmtId="0" fontId="0" fillId="0" borderId="0" xfId="0"/>
    <xf numFmtId="164" fontId="6" fillId="3" borderId="1" xfId="2" applyNumberFormat="1" applyFont="1" applyFill="1" applyBorder="1" applyAlignment="1">
      <alignment horizontal="left"/>
    </xf>
    <xf numFmtId="164" fontId="6" fillId="3" borderId="2" xfId="2" applyNumberFormat="1" applyFont="1" applyFill="1" applyBorder="1" applyAlignment="1">
      <alignment horizontal="left"/>
    </xf>
    <xf numFmtId="164" fontId="6" fillId="3" borderId="7" xfId="2" applyNumberFormat="1" applyFont="1" applyFill="1" applyBorder="1" applyAlignment="1">
      <alignment wrapText="1"/>
    </xf>
    <xf numFmtId="0" fontId="3" fillId="0" borderId="4" xfId="2" applyFont="1" applyBorder="1" applyAlignment="1">
      <alignment horizontal="center" wrapText="1"/>
    </xf>
    <xf numFmtId="165" fontId="5" fillId="0" borderId="4" xfId="2" applyNumberFormat="1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/>
    </xf>
    <xf numFmtId="164" fontId="4" fillId="0" borderId="5" xfId="2" applyNumberFormat="1" applyFont="1" applyBorder="1"/>
    <xf numFmtId="164" fontId="4" fillId="0" borderId="6" xfId="2" applyNumberFormat="1" applyFont="1" applyBorder="1" applyAlignment="1">
      <alignment horizontal="left" vertical="center"/>
    </xf>
    <xf numFmtId="167" fontId="6" fillId="2" borderId="4" xfId="1" applyNumberFormat="1" applyFont="1" applyFill="1" applyBorder="1" applyAlignment="1">
      <alignment wrapText="1"/>
    </xf>
    <xf numFmtId="167" fontId="7" fillId="2" borderId="3" xfId="1" applyNumberFormat="1" applyFont="1" applyFill="1" applyBorder="1"/>
    <xf numFmtId="167" fontId="6" fillId="3" borderId="7" xfId="1" applyNumberFormat="1" applyFont="1" applyFill="1" applyBorder="1" applyAlignment="1">
      <alignment horizontal="right"/>
    </xf>
    <xf numFmtId="167" fontId="9" fillId="0" borderId="6" xfId="1" applyNumberFormat="1" applyFont="1" applyFill="1" applyBorder="1" applyAlignment="1">
      <alignment horizontal="right"/>
    </xf>
    <xf numFmtId="167" fontId="9" fillId="0" borderId="6" xfId="1" applyNumberFormat="1" applyFont="1" applyBorder="1" applyAlignment="1">
      <alignment horizontal="right"/>
    </xf>
    <xf numFmtId="167" fontId="6" fillId="3" borderId="1" xfId="1" applyNumberFormat="1" applyFont="1" applyFill="1" applyBorder="1" applyAlignment="1">
      <alignment wrapText="1"/>
    </xf>
    <xf numFmtId="167" fontId="6" fillId="3" borderId="2" xfId="1" applyNumberFormat="1" applyFont="1" applyFill="1" applyBorder="1" applyAlignment="1">
      <alignment wrapText="1"/>
    </xf>
    <xf numFmtId="167" fontId="10" fillId="0" borderId="1" xfId="1" applyNumberFormat="1" applyFont="1" applyFill="1" applyBorder="1" applyAlignment="1">
      <alignment wrapText="1"/>
    </xf>
    <xf numFmtId="164" fontId="6" fillId="2" borderId="4" xfId="2" applyNumberFormat="1" applyFont="1" applyFill="1" applyBorder="1" applyAlignment="1">
      <alignment wrapText="1"/>
    </xf>
    <xf numFmtId="164" fontId="4" fillId="0" borderId="6" xfId="2" applyNumberFormat="1" applyFont="1" applyBorder="1" applyAlignment="1">
      <alignment horizontal="left"/>
    </xf>
    <xf numFmtId="167" fontId="13" fillId="0" borderId="1" xfId="1" applyNumberFormat="1" applyFont="1" applyFill="1" applyBorder="1" applyAlignment="1">
      <alignment wrapText="1"/>
    </xf>
    <xf numFmtId="0" fontId="14" fillId="0" borderId="0" xfId="0" applyFont="1"/>
    <xf numFmtId="0" fontId="14" fillId="0" borderId="1" xfId="0" applyFont="1" applyBorder="1"/>
    <xf numFmtId="0" fontId="0" fillId="0" borderId="1" xfId="0" applyBorder="1"/>
    <xf numFmtId="167" fontId="0" fillId="0" borderId="0" xfId="0" applyNumberFormat="1"/>
    <xf numFmtId="167" fontId="14" fillId="0" borderId="0" xfId="0" applyNumberFormat="1" applyFont="1"/>
    <xf numFmtId="0" fontId="3" fillId="0" borderId="14" xfId="2" applyFont="1" applyBorder="1" applyAlignment="1">
      <alignment horizontal="center" wrapText="1"/>
    </xf>
    <xf numFmtId="164" fontId="6" fillId="2" borderId="15" xfId="2" applyNumberFormat="1" applyFont="1" applyFill="1" applyBorder="1" applyAlignment="1">
      <alignment wrapText="1"/>
    </xf>
    <xf numFmtId="164" fontId="4" fillId="0" borderId="16" xfId="2" applyNumberFormat="1" applyFont="1" applyBorder="1"/>
    <xf numFmtId="167" fontId="7" fillId="3" borderId="17" xfId="1" applyNumberFormat="1" applyFont="1" applyFill="1" applyBorder="1"/>
    <xf numFmtId="164" fontId="6" fillId="3" borderId="15" xfId="2" applyNumberFormat="1" applyFont="1" applyFill="1" applyBorder="1" applyAlignment="1">
      <alignment wrapText="1"/>
    </xf>
    <xf numFmtId="164" fontId="4" fillId="0" borderId="18" xfId="2" applyNumberFormat="1" applyFont="1" applyBorder="1" applyAlignment="1">
      <alignment horizontal="left" vertical="center"/>
    </xf>
    <xf numFmtId="164" fontId="4" fillId="0" borderId="19" xfId="2" applyNumberFormat="1" applyFont="1" applyBorder="1" applyAlignment="1">
      <alignment horizontal="left" vertical="center"/>
    </xf>
    <xf numFmtId="164" fontId="4" fillId="0" borderId="19" xfId="2" applyNumberFormat="1" applyFont="1" applyBorder="1" applyAlignment="1">
      <alignment horizontal="left"/>
    </xf>
    <xf numFmtId="164" fontId="6" fillId="3" borderId="19" xfId="2" applyNumberFormat="1" applyFont="1" applyFill="1" applyBorder="1" applyAlignment="1">
      <alignment horizontal="left"/>
    </xf>
    <xf numFmtId="167" fontId="6" fillId="3" borderId="17" xfId="1" applyNumberFormat="1" applyFont="1" applyFill="1" applyBorder="1" applyAlignment="1">
      <alignment wrapText="1"/>
    </xf>
    <xf numFmtId="164" fontId="6" fillId="3" borderId="20" xfId="2" applyNumberFormat="1" applyFont="1" applyFill="1" applyBorder="1" applyAlignment="1">
      <alignment horizontal="left"/>
    </xf>
    <xf numFmtId="167" fontId="6" fillId="3" borderId="21" xfId="1" applyNumberFormat="1" applyFont="1" applyFill="1" applyBorder="1" applyAlignment="1">
      <alignment wrapText="1"/>
    </xf>
    <xf numFmtId="164" fontId="17" fillId="0" borderId="6" xfId="16" applyNumberFormat="1" applyFont="1" applyBorder="1" applyAlignment="1">
      <alignment horizontal="left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13" xfId="0" applyFont="1" applyBorder="1" applyAlignment="1">
      <alignment vertical="center"/>
    </xf>
  </cellXfs>
  <cellStyles count="39">
    <cellStyle name="Comma 2" xfId="7" xr:uid="{9F3C19C9-771E-46C7-B7D7-432D38DEA8DD}"/>
    <cellStyle name="Comma 2 2" xfId="38" xr:uid="{AB0CC086-B180-4854-A9EB-712E53D77060}"/>
    <cellStyle name="Comma 3" xfId="30" xr:uid="{37850786-B5D6-4662-8853-C07BD065E0F7}"/>
    <cellStyle name="Comma 4" xfId="31" xr:uid="{93000A1C-9F4C-4208-93FA-19D1187A99FE}"/>
    <cellStyle name="Comma 5" xfId="36" xr:uid="{7EFA0842-60AE-4787-A951-3DE895A1944A}"/>
    <cellStyle name="Currency" xfId="1" builtinId="4"/>
    <cellStyle name="Currency 2" xfId="5" xr:uid="{7E06D85E-1C5D-48E6-865E-717A6EF95597}"/>
    <cellStyle name="Currency 2 2" xfId="9" xr:uid="{EB5C6F81-592B-496D-8132-DA88C72C24C1}"/>
    <cellStyle name="Currency 2 2 2" xfId="13" xr:uid="{C4D8E655-1BD2-4302-AB88-BBF6CFC38F1D}"/>
    <cellStyle name="Currency 2 3" xfId="11" xr:uid="{AB8571C1-31E7-45D2-B451-D5F1C7C8B6C7}"/>
    <cellStyle name="Currency 3" xfId="12" xr:uid="{8626DABE-6F2C-4D3F-861F-DE0C3F2D0818}"/>
    <cellStyle name="Currency 4" xfId="15" xr:uid="{78E4FF6C-22E7-444B-B5BF-7A0F5655364D}"/>
    <cellStyle name="Currency 5" xfId="6" xr:uid="{B5388037-5299-41A9-982E-D3DCBBF5F853}"/>
    <cellStyle name="Hyperlink" xfId="16" builtinId="8"/>
    <cellStyle name="Normal" xfId="0" builtinId="0"/>
    <cellStyle name="Normal 2" xfId="4" xr:uid="{B84B9F6D-88EE-45D0-A323-D15C5148B4AD}"/>
    <cellStyle name="Normal 2 2" xfId="10" xr:uid="{7A0AC17D-5D24-418D-AEE1-7E9CA1211856}"/>
    <cellStyle name="Normal 2 2 2" xfId="32" xr:uid="{65E7E751-7B16-4234-BFD7-FFBE5FF44B61}"/>
    <cellStyle name="Normal 2 2 3" xfId="21" xr:uid="{12F550BD-104D-4175-8A17-3E343E8E4B69}"/>
    <cellStyle name="Normal 2 3" xfId="19" xr:uid="{36BC8BE1-64D7-4A7B-8599-6362B1E1719D}"/>
    <cellStyle name="Normal 3" xfId="14" xr:uid="{C17C0E75-16D3-4A30-B683-618FDAB1DA5B}"/>
    <cellStyle name="Normal 3 2" xfId="33" xr:uid="{E292D9E6-95D5-41AB-A440-65D697F29F03}"/>
    <cellStyle name="Normal 4" xfId="2" xr:uid="{F38E9F25-6A2E-4872-8C1B-03F24ABD954D}"/>
    <cellStyle name="Normal 4 2" xfId="34" xr:uid="{6FB73F12-3CBE-4D8E-B059-C9E08504AA0B}"/>
    <cellStyle name="Normal 4 3" xfId="23" xr:uid="{87DBE324-1F33-4B3B-B513-12F352EAF188}"/>
    <cellStyle name="Normal 5" xfId="24" xr:uid="{1F768817-B019-48AA-B09E-A4A69111CBA1}"/>
    <cellStyle name="Normal 5 2" xfId="35" xr:uid="{2ABA500D-D92D-4474-81E4-EDEE46D8D54E}"/>
    <cellStyle name="Normal 6" xfId="8" xr:uid="{D708D071-8576-4406-BB03-C7F1EBC9D7BD}"/>
    <cellStyle name="Normal 6 2" xfId="25" xr:uid="{B151D9B0-7EF3-4FBA-8D00-BAB78ADF8892}"/>
    <cellStyle name="Normal 7" xfId="27" xr:uid="{B800974B-46D0-465D-82C7-90D1A99AA402}"/>
    <cellStyle name="Normal 8" xfId="37" xr:uid="{DE53B766-E993-4C58-BC00-8A4635B34431}"/>
    <cellStyle name="Normal 9" xfId="17" xr:uid="{94DE04A0-28DC-48B1-A966-B203EF0471D4}"/>
    <cellStyle name="Percent 2" xfId="3" xr:uid="{7A800516-B1C5-432B-9289-B1B94F5F9237}"/>
    <cellStyle name="Percent 2 2" xfId="22" xr:uid="{F030A2C0-B4FD-4A9A-B512-E5A99D41798D}"/>
    <cellStyle name="Percent 2 3" xfId="20" xr:uid="{DF6D083C-86D4-4CBD-BB70-35578959931A}"/>
    <cellStyle name="Percent 3" xfId="26" xr:uid="{D5B54326-AD1B-4627-B93A-3657DD42DF3C}"/>
    <cellStyle name="Percent 4" xfId="18" xr:uid="{D7FE0F10-C208-46E4-ADDF-8D8D23FF9E78}"/>
    <cellStyle name="Запетая 2" xfId="29" xr:uid="{F95C54B3-3684-453E-B9D8-647D010101E2}"/>
    <cellStyle name="Нормален 2" xfId="28" xr:uid="{36C028C6-C539-4337-AC15-C1BD506CA8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avlena.com/bg/165983/rent" TargetMode="External"/><Relationship Id="rId1" Type="http://schemas.openxmlformats.org/officeDocument/2006/relationships/hyperlink" Target="http://www.aibuildagents.bg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502B-F8DF-4CFF-8E24-1FCA96F4C26D}">
  <dimension ref="B1:G32"/>
  <sheetViews>
    <sheetView tabSelected="1" zoomScale="70" zoomScaleNormal="70" workbookViewId="0">
      <selection activeCell="J17" sqref="J17"/>
    </sheetView>
  </sheetViews>
  <sheetFormatPr defaultRowHeight="14.4" x14ac:dyDescent="0.3"/>
  <cols>
    <col min="2" max="2" width="49.21875" bestFit="1" customWidth="1"/>
    <col min="3" max="3" width="55.5546875" bestFit="1" customWidth="1"/>
    <col min="4" max="6" width="19.21875" bestFit="1" customWidth="1"/>
    <col min="7" max="7" width="20.77734375" bestFit="1" customWidth="1"/>
  </cols>
  <sheetData>
    <row r="1" spans="2:7" ht="15" thickBot="1" x14ac:dyDescent="0.35"/>
    <row r="2" spans="2:7" ht="14.4" customHeight="1" x14ac:dyDescent="0.3">
      <c r="B2" s="38" t="s">
        <v>85</v>
      </c>
      <c r="C2" s="39"/>
      <c r="D2" s="39"/>
      <c r="E2" s="39"/>
      <c r="F2" s="39"/>
      <c r="G2" s="40"/>
    </row>
    <row r="3" spans="2:7" ht="15" customHeight="1" thickBot="1" x14ac:dyDescent="0.35">
      <c r="B3" s="41"/>
      <c r="C3" s="42"/>
      <c r="D3" s="42"/>
      <c r="E3" s="42"/>
      <c r="F3" s="42"/>
      <c r="G3" s="43"/>
    </row>
    <row r="4" spans="2:7" ht="18" thickBot="1" x14ac:dyDescent="0.35">
      <c r="B4" s="25"/>
      <c r="C4" s="4"/>
      <c r="D4" s="5">
        <v>46023</v>
      </c>
      <c r="E4" s="5">
        <v>46054</v>
      </c>
      <c r="F4" s="5">
        <v>46082</v>
      </c>
      <c r="G4" s="6" t="s">
        <v>0</v>
      </c>
    </row>
    <row r="5" spans="2:7" ht="18" thickBot="1" x14ac:dyDescent="0.35">
      <c r="B5" s="26" t="s">
        <v>1</v>
      </c>
      <c r="C5" s="17" t="s">
        <v>79</v>
      </c>
      <c r="D5" s="9"/>
      <c r="E5" s="9"/>
      <c r="F5" s="9"/>
      <c r="G5" s="10"/>
    </row>
    <row r="6" spans="2:7" ht="17.399999999999999" x14ac:dyDescent="0.3">
      <c r="B6" s="27" t="s">
        <v>13</v>
      </c>
      <c r="C6" s="7"/>
      <c r="D6" s="16">
        <v>0</v>
      </c>
      <c r="E6" s="16">
        <v>0</v>
      </c>
      <c r="F6" s="16">
        <v>0</v>
      </c>
      <c r="G6" s="28">
        <f>SUM(D6:F6)</f>
        <v>0</v>
      </c>
    </row>
    <row r="7" spans="2:7" ht="17.399999999999999" x14ac:dyDescent="0.3">
      <c r="B7" s="27" t="s">
        <v>34</v>
      </c>
      <c r="C7" s="7"/>
      <c r="D7" s="16">
        <v>0</v>
      </c>
      <c r="E7" s="16">
        <v>0</v>
      </c>
      <c r="F7" s="16">
        <v>0</v>
      </c>
      <c r="G7" s="28">
        <f t="shared" ref="G7:G30" si="0">SUM(D7:F7)</f>
        <v>0</v>
      </c>
    </row>
    <row r="8" spans="2:7" ht="17.399999999999999" x14ac:dyDescent="0.3">
      <c r="B8" s="27" t="s">
        <v>14</v>
      </c>
      <c r="C8" s="7"/>
      <c r="D8" s="16">
        <v>0</v>
      </c>
      <c r="E8" s="16">
        <v>0</v>
      </c>
      <c r="F8" s="16">
        <v>0</v>
      </c>
      <c r="G8" s="28">
        <f t="shared" si="0"/>
        <v>0</v>
      </c>
    </row>
    <row r="9" spans="2:7" ht="18" thickBot="1" x14ac:dyDescent="0.35">
      <c r="B9" s="27" t="s">
        <v>24</v>
      </c>
      <c r="C9" s="7"/>
      <c r="D9" s="16">
        <v>0</v>
      </c>
      <c r="E9" s="16">
        <v>0</v>
      </c>
      <c r="F9" s="16">
        <v>0</v>
      </c>
      <c r="G9" s="28">
        <f t="shared" si="0"/>
        <v>0</v>
      </c>
    </row>
    <row r="10" spans="2:7" ht="18" thickBot="1" x14ac:dyDescent="0.35">
      <c r="B10" s="29" t="s">
        <v>2</v>
      </c>
      <c r="C10" s="3"/>
      <c r="D10" s="11">
        <v>13166.662400000001</v>
      </c>
      <c r="E10" s="11">
        <v>9795.6624000000011</v>
      </c>
      <c r="F10" s="11">
        <v>10935.662399999999</v>
      </c>
      <c r="G10" s="28"/>
    </row>
    <row r="11" spans="2:7" ht="18" x14ac:dyDescent="0.3">
      <c r="B11" s="30" t="s">
        <v>15</v>
      </c>
      <c r="C11" s="37" t="s">
        <v>80</v>
      </c>
      <c r="D11" s="12">
        <v>500</v>
      </c>
      <c r="E11" s="12">
        <v>500</v>
      </c>
      <c r="F11" s="12">
        <v>1000</v>
      </c>
      <c r="G11" s="28">
        <f t="shared" si="0"/>
        <v>2000</v>
      </c>
    </row>
    <row r="12" spans="2:7" ht="17.399999999999999" x14ac:dyDescent="0.3">
      <c r="B12" s="31" t="s">
        <v>3</v>
      </c>
      <c r="C12" s="8"/>
      <c r="D12" s="12">
        <v>6931</v>
      </c>
      <c r="E12" s="12">
        <v>6931</v>
      </c>
      <c r="F12" s="12">
        <v>6931</v>
      </c>
      <c r="G12" s="28">
        <f t="shared" si="0"/>
        <v>20793</v>
      </c>
    </row>
    <row r="13" spans="2:7" ht="17.399999999999999" x14ac:dyDescent="0.3">
      <c r="B13" s="31" t="s">
        <v>4</v>
      </c>
      <c r="C13" s="8"/>
      <c r="D13" s="12">
        <v>657.66240000000005</v>
      </c>
      <c r="E13" s="12">
        <v>657.66240000000005</v>
      </c>
      <c r="F13" s="12">
        <v>657.66240000000005</v>
      </c>
      <c r="G13" s="28">
        <f t="shared" si="0"/>
        <v>1972.9872</v>
      </c>
    </row>
    <row r="14" spans="2:7" ht="17.399999999999999" x14ac:dyDescent="0.3">
      <c r="B14" s="31" t="s">
        <v>16</v>
      </c>
      <c r="C14" s="8" t="s">
        <v>81</v>
      </c>
      <c r="D14" s="12">
        <v>150</v>
      </c>
      <c r="E14" s="12">
        <v>150</v>
      </c>
      <c r="F14" s="12">
        <v>150</v>
      </c>
      <c r="G14" s="28">
        <f t="shared" si="0"/>
        <v>450</v>
      </c>
    </row>
    <row r="15" spans="2:7" ht="17.399999999999999" x14ac:dyDescent="0.3">
      <c r="B15" s="32" t="s">
        <v>5</v>
      </c>
      <c r="C15" s="18"/>
      <c r="D15" s="12">
        <v>0</v>
      </c>
      <c r="E15" s="12">
        <v>0</v>
      </c>
      <c r="F15" s="12">
        <v>0</v>
      </c>
      <c r="G15" s="28">
        <f t="shared" si="0"/>
        <v>0</v>
      </c>
    </row>
    <row r="16" spans="2:7" ht="17.399999999999999" x14ac:dyDescent="0.3">
      <c r="B16" s="32" t="s">
        <v>83</v>
      </c>
      <c r="C16" s="18" t="s">
        <v>82</v>
      </c>
      <c r="D16" s="12">
        <v>0</v>
      </c>
      <c r="E16" s="12">
        <v>0</v>
      </c>
      <c r="F16" s="12">
        <v>0</v>
      </c>
      <c r="G16" s="28">
        <f t="shared" si="0"/>
        <v>0</v>
      </c>
    </row>
    <row r="17" spans="2:7" ht="17.399999999999999" x14ac:dyDescent="0.3">
      <c r="B17" s="32" t="s">
        <v>25</v>
      </c>
      <c r="C17" s="18" t="s">
        <v>26</v>
      </c>
      <c r="D17" s="12">
        <v>0</v>
      </c>
      <c r="E17" s="12">
        <v>0</v>
      </c>
      <c r="F17" s="12">
        <v>900</v>
      </c>
      <c r="G17" s="28">
        <f t="shared" si="0"/>
        <v>900</v>
      </c>
    </row>
    <row r="18" spans="2:7" ht="17.399999999999999" x14ac:dyDescent="0.3">
      <c r="B18" s="32" t="s">
        <v>6</v>
      </c>
      <c r="C18" s="18" t="s">
        <v>27</v>
      </c>
      <c r="D18" s="12">
        <v>0</v>
      </c>
      <c r="E18" s="12">
        <v>0</v>
      </c>
      <c r="F18" s="12">
        <v>0</v>
      </c>
      <c r="G18" s="28">
        <f t="shared" si="0"/>
        <v>0</v>
      </c>
    </row>
    <row r="19" spans="2:7" ht="17.399999999999999" x14ac:dyDescent="0.3">
      <c r="B19" s="32" t="s">
        <v>7</v>
      </c>
      <c r="C19" s="18"/>
      <c r="D19" s="12">
        <v>350</v>
      </c>
      <c r="E19" s="12">
        <v>350</v>
      </c>
      <c r="F19" s="12">
        <v>350</v>
      </c>
      <c r="G19" s="28">
        <f t="shared" si="0"/>
        <v>1050</v>
      </c>
    </row>
    <row r="20" spans="2:7" ht="17.399999999999999" x14ac:dyDescent="0.3">
      <c r="B20" s="32" t="s">
        <v>8</v>
      </c>
      <c r="C20" s="18"/>
      <c r="D20" s="12">
        <v>0</v>
      </c>
      <c r="E20" s="12">
        <v>0</v>
      </c>
      <c r="F20" s="13">
        <v>0</v>
      </c>
      <c r="G20" s="28">
        <f t="shared" si="0"/>
        <v>0</v>
      </c>
    </row>
    <row r="21" spans="2:7" ht="17.399999999999999" x14ac:dyDescent="0.3">
      <c r="B21" s="32" t="s">
        <v>17</v>
      </c>
      <c r="C21" s="18" t="s">
        <v>28</v>
      </c>
      <c r="D21" s="12">
        <v>719</v>
      </c>
      <c r="E21" s="12">
        <v>0</v>
      </c>
      <c r="F21" s="12">
        <v>0</v>
      </c>
      <c r="G21" s="28">
        <f t="shared" si="0"/>
        <v>719</v>
      </c>
    </row>
    <row r="22" spans="2:7" ht="17.399999999999999" x14ac:dyDescent="0.3">
      <c r="B22" s="32" t="s">
        <v>18</v>
      </c>
      <c r="C22" s="18" t="s">
        <v>29</v>
      </c>
      <c r="D22" s="12">
        <v>3062</v>
      </c>
      <c r="E22" s="12">
        <v>0</v>
      </c>
      <c r="F22" s="12">
        <v>0</v>
      </c>
      <c r="G22" s="28">
        <f t="shared" si="0"/>
        <v>3062</v>
      </c>
    </row>
    <row r="23" spans="2:7" ht="17.399999999999999" x14ac:dyDescent="0.3">
      <c r="B23" s="32" t="s">
        <v>22</v>
      </c>
      <c r="C23" s="18"/>
      <c r="D23" s="12">
        <v>25</v>
      </c>
      <c r="E23" s="12">
        <v>25</v>
      </c>
      <c r="F23" s="13">
        <v>25</v>
      </c>
      <c r="G23" s="28">
        <f t="shared" si="0"/>
        <v>75</v>
      </c>
    </row>
    <row r="24" spans="2:7" ht="17.399999999999999" x14ac:dyDescent="0.3">
      <c r="B24" s="32" t="s">
        <v>9</v>
      </c>
      <c r="C24" s="18" t="s">
        <v>30</v>
      </c>
      <c r="D24" s="12">
        <v>0</v>
      </c>
      <c r="E24" s="12">
        <v>0</v>
      </c>
      <c r="F24" s="13">
        <v>150</v>
      </c>
      <c r="G24" s="28">
        <f t="shared" si="0"/>
        <v>150</v>
      </c>
    </row>
    <row r="25" spans="2:7" ht="17.399999999999999" x14ac:dyDescent="0.3">
      <c r="B25" s="32" t="s">
        <v>19</v>
      </c>
      <c r="C25" s="18" t="s">
        <v>31</v>
      </c>
      <c r="D25" s="12">
        <v>747</v>
      </c>
      <c r="E25" s="13">
        <v>747</v>
      </c>
      <c r="F25" s="13">
        <v>747</v>
      </c>
      <c r="G25" s="28">
        <f t="shared" si="0"/>
        <v>2241</v>
      </c>
    </row>
    <row r="26" spans="2:7" ht="17.399999999999999" x14ac:dyDescent="0.3">
      <c r="B26" s="32" t="s">
        <v>23</v>
      </c>
      <c r="C26" s="18" t="s">
        <v>32</v>
      </c>
      <c r="D26" s="12">
        <v>0</v>
      </c>
      <c r="E26" s="12">
        <v>0</v>
      </c>
      <c r="F26" s="12">
        <v>0</v>
      </c>
      <c r="G26" s="28">
        <f t="shared" si="0"/>
        <v>0</v>
      </c>
    </row>
    <row r="27" spans="2:7" ht="17.399999999999999" x14ac:dyDescent="0.3">
      <c r="B27" s="32" t="s">
        <v>20</v>
      </c>
      <c r="C27" s="18" t="s">
        <v>33</v>
      </c>
      <c r="D27" s="12">
        <v>0</v>
      </c>
      <c r="E27" s="12">
        <v>30</v>
      </c>
      <c r="F27" s="13">
        <v>0</v>
      </c>
      <c r="G27" s="28">
        <f t="shared" si="0"/>
        <v>30</v>
      </c>
    </row>
    <row r="28" spans="2:7" ht="17.399999999999999" x14ac:dyDescent="0.3">
      <c r="B28" s="32" t="s">
        <v>21</v>
      </c>
      <c r="C28" s="18"/>
      <c r="D28" s="12">
        <v>0</v>
      </c>
      <c r="E28" s="12">
        <v>380</v>
      </c>
      <c r="F28" s="12">
        <v>0</v>
      </c>
      <c r="G28" s="28">
        <f t="shared" si="0"/>
        <v>380</v>
      </c>
    </row>
    <row r="29" spans="2:7" ht="17.399999999999999" x14ac:dyDescent="0.3">
      <c r="B29" s="32" t="s">
        <v>84</v>
      </c>
      <c r="C29" s="18"/>
      <c r="D29" s="12">
        <v>0</v>
      </c>
      <c r="E29" s="12">
        <v>0</v>
      </c>
      <c r="F29" s="12">
        <v>0</v>
      </c>
      <c r="G29" s="28">
        <f t="shared" si="0"/>
        <v>0</v>
      </c>
    </row>
    <row r="30" spans="2:7" ht="17.399999999999999" x14ac:dyDescent="0.3">
      <c r="B30" s="32" t="s">
        <v>10</v>
      </c>
      <c r="C30" s="18"/>
      <c r="D30" s="12">
        <v>25</v>
      </c>
      <c r="E30" s="12">
        <v>25</v>
      </c>
      <c r="F30" s="12">
        <v>25</v>
      </c>
      <c r="G30" s="28">
        <f>SUM(D30:F30)</f>
        <v>75</v>
      </c>
    </row>
    <row r="31" spans="2:7" ht="17.399999999999999" x14ac:dyDescent="0.3">
      <c r="B31" s="33" t="s">
        <v>11</v>
      </c>
      <c r="C31" s="1"/>
      <c r="D31" s="14">
        <f>SUM(D11:D30)</f>
        <v>13166.662400000001</v>
      </c>
      <c r="E31" s="14">
        <f t="shared" ref="E31:F31" si="1">SUM(E11:E30)</f>
        <v>9795.6624000000011</v>
      </c>
      <c r="F31" s="14">
        <f t="shared" si="1"/>
        <v>10935.662399999999</v>
      </c>
      <c r="G31" s="34">
        <f>SUM(G6:G30)</f>
        <v>33897.987200000003</v>
      </c>
    </row>
    <row r="32" spans="2:7" ht="18" thickBot="1" x14ac:dyDescent="0.35">
      <c r="B32" s="35" t="s">
        <v>12</v>
      </c>
      <c r="C32" s="2"/>
      <c r="D32" s="15">
        <f>D31</f>
        <v>13166.662400000001</v>
      </c>
      <c r="E32" s="15">
        <v>-22962.324800000002</v>
      </c>
      <c r="F32" s="15">
        <v>-33897.987200000003</v>
      </c>
      <c r="G32" s="36"/>
    </row>
  </sheetData>
  <mergeCells count="1">
    <mergeCell ref="B2:F2"/>
  </mergeCells>
  <hyperlinks>
    <hyperlink ref="C27" r:id="rId1" xr:uid="{C0E957E4-A50F-4061-9C73-73ED1FDE0C43}"/>
    <hyperlink ref="C11" r:id="rId2" xr:uid="{73C841A5-332D-4827-BD93-FAD17A761467}"/>
  </hyperlinks>
  <pageMargins left="0.7" right="0.7" top="0.75" bottom="0.75" header="0.3" footer="0.3"/>
  <pageSetup paperSize="9"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7666-C5DF-4291-B187-20EE1D3B2F95}">
  <dimension ref="A1:D20"/>
  <sheetViews>
    <sheetView zoomScaleNormal="100" workbookViewId="0">
      <selection activeCell="B26" sqref="B26"/>
    </sheetView>
  </sheetViews>
  <sheetFormatPr defaultRowHeight="14.4" x14ac:dyDescent="0.3"/>
  <cols>
    <col min="1" max="1" width="29.77734375" bestFit="1" customWidth="1"/>
    <col min="2" max="2" width="27.6640625" bestFit="1" customWidth="1"/>
    <col min="3" max="3" width="20.5546875" bestFit="1" customWidth="1"/>
    <col min="4" max="4" width="53.5546875" bestFit="1" customWidth="1"/>
  </cols>
  <sheetData>
    <row r="1" spans="1:4" x14ac:dyDescent="0.3">
      <c r="A1" s="21" t="s">
        <v>35</v>
      </c>
      <c r="B1" s="21" t="s">
        <v>36</v>
      </c>
      <c r="C1" s="21" t="s">
        <v>37</v>
      </c>
      <c r="D1" s="21" t="s">
        <v>38</v>
      </c>
    </row>
    <row r="2" spans="1:4" x14ac:dyDescent="0.3">
      <c r="A2" s="22" t="s">
        <v>39</v>
      </c>
      <c r="B2" s="22" t="s">
        <v>40</v>
      </c>
      <c r="C2" s="19">
        <v>85</v>
      </c>
      <c r="D2" s="22" t="s">
        <v>41</v>
      </c>
    </row>
    <row r="3" spans="1:4" x14ac:dyDescent="0.3">
      <c r="A3" s="22" t="s">
        <v>42</v>
      </c>
      <c r="B3" s="22" t="s">
        <v>43</v>
      </c>
      <c r="C3" s="19">
        <v>230</v>
      </c>
      <c r="D3" s="22" t="s">
        <v>44</v>
      </c>
    </row>
    <row r="4" spans="1:4" x14ac:dyDescent="0.3">
      <c r="A4" s="22" t="s">
        <v>45</v>
      </c>
      <c r="B4" s="22" t="s">
        <v>46</v>
      </c>
      <c r="C4" s="19">
        <v>20</v>
      </c>
      <c r="D4" s="22" t="s">
        <v>47</v>
      </c>
    </row>
    <row r="5" spans="1:4" x14ac:dyDescent="0.3">
      <c r="A5" s="22" t="s">
        <v>48</v>
      </c>
      <c r="B5" s="22" t="s">
        <v>49</v>
      </c>
      <c r="C5" s="19">
        <v>10</v>
      </c>
      <c r="D5" s="22" t="s">
        <v>50</v>
      </c>
    </row>
    <row r="6" spans="1:4" x14ac:dyDescent="0.3">
      <c r="A6" s="22" t="s">
        <v>51</v>
      </c>
      <c r="B6" s="22" t="s">
        <v>52</v>
      </c>
      <c r="C6" s="19">
        <v>12</v>
      </c>
      <c r="D6" s="22" t="s">
        <v>53</v>
      </c>
    </row>
    <row r="7" spans="1:4" x14ac:dyDescent="0.3">
      <c r="A7" s="22" t="s">
        <v>54</v>
      </c>
      <c r="B7" s="22" t="s">
        <v>55</v>
      </c>
      <c r="C7" s="19">
        <v>30</v>
      </c>
      <c r="D7" s="22" t="s">
        <v>56</v>
      </c>
    </row>
    <row r="8" spans="1:4" x14ac:dyDescent="0.3">
      <c r="A8" s="22" t="s">
        <v>57</v>
      </c>
      <c r="B8" s="22" t="s">
        <v>46</v>
      </c>
      <c r="C8" s="19">
        <v>60</v>
      </c>
      <c r="D8" s="22" t="s">
        <v>58</v>
      </c>
    </row>
    <row r="9" spans="1:4" x14ac:dyDescent="0.3">
      <c r="A9" s="22" t="s">
        <v>59</v>
      </c>
      <c r="B9" s="22" t="s">
        <v>60</v>
      </c>
      <c r="C9" s="19">
        <v>0</v>
      </c>
      <c r="D9" s="22" t="s">
        <v>61</v>
      </c>
    </row>
    <row r="10" spans="1:4" x14ac:dyDescent="0.3">
      <c r="A10" s="22" t="s">
        <v>62</v>
      </c>
      <c r="B10" s="22" t="s">
        <v>63</v>
      </c>
      <c r="C10" s="19">
        <v>0</v>
      </c>
      <c r="D10" s="22" t="s">
        <v>64</v>
      </c>
    </row>
    <row r="12" spans="1:4" x14ac:dyDescent="0.3">
      <c r="A12" s="21" t="s">
        <v>65</v>
      </c>
      <c r="B12" s="21" t="s">
        <v>36</v>
      </c>
      <c r="C12" s="21" t="s">
        <v>66</v>
      </c>
      <c r="D12" s="21" t="s">
        <v>38</v>
      </c>
    </row>
    <row r="13" spans="1:4" x14ac:dyDescent="0.3">
      <c r="A13" s="22" t="s">
        <v>67</v>
      </c>
      <c r="B13" s="22" t="s">
        <v>75</v>
      </c>
      <c r="C13" s="19">
        <v>100</v>
      </c>
      <c r="D13" s="22" t="s">
        <v>68</v>
      </c>
    </row>
    <row r="14" spans="1:4" x14ac:dyDescent="0.3">
      <c r="A14" s="22" t="s">
        <v>69</v>
      </c>
      <c r="B14" s="22" t="s">
        <v>75</v>
      </c>
      <c r="C14" s="19">
        <v>90</v>
      </c>
      <c r="D14" s="22" t="s">
        <v>70</v>
      </c>
    </row>
    <row r="15" spans="1:4" x14ac:dyDescent="0.3">
      <c r="A15" s="22" t="s">
        <v>71</v>
      </c>
      <c r="B15" s="22" t="s">
        <v>75</v>
      </c>
      <c r="C15" s="19">
        <v>60</v>
      </c>
      <c r="D15" s="22" t="s">
        <v>72</v>
      </c>
    </row>
    <row r="16" spans="1:4" x14ac:dyDescent="0.3">
      <c r="A16" s="22" t="s">
        <v>73</v>
      </c>
      <c r="B16" s="22" t="s">
        <v>75</v>
      </c>
      <c r="C16" s="19">
        <v>50</v>
      </c>
      <c r="D16" s="22" t="s">
        <v>74</v>
      </c>
    </row>
    <row r="18" spans="1:3" x14ac:dyDescent="0.3">
      <c r="A18" s="20" t="s">
        <v>76</v>
      </c>
      <c r="C18" s="23">
        <f>SUM(C2:C10)</f>
        <v>447</v>
      </c>
    </row>
    <row r="19" spans="1:3" x14ac:dyDescent="0.3">
      <c r="A19" s="20" t="s">
        <v>77</v>
      </c>
      <c r="C19" s="23">
        <f>SUM(C13:C16)</f>
        <v>300</v>
      </c>
    </row>
    <row r="20" spans="1:3" x14ac:dyDescent="0.3">
      <c r="A20" s="20" t="s">
        <v>78</v>
      </c>
      <c r="C20" s="24">
        <f>C18+C19</f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AI инструменти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Заров</dc:creator>
  <cp:lastModifiedBy>Николай Заров</cp:lastModifiedBy>
  <dcterms:created xsi:type="dcterms:W3CDTF">2026-02-16T11:18:21Z</dcterms:created>
  <dcterms:modified xsi:type="dcterms:W3CDTF">2026-04-02T07:46:23Z</dcterms:modified>
</cp:coreProperties>
</file>